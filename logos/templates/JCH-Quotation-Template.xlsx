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otation" sheetId="1" state="visible" r:id="rId3"/>
    <sheet name="How to use" sheetId="2" state="visible" r:id="rId4"/>
  </sheets>
  <definedNames>
    <definedName function="false" hidden="false" localSheetId="0" name="_xlnm.Print_Area" vbProcedure="false">Quotation!$A$1:$I$51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<sst xmlns="http://schemas.openxmlformats.org/spreadsheetml/2006/main" count="77" uniqueCount="75">
  <si>
    <t xml:space="preserve">QUOTATION</t>
  </si>
  <si>
    <t xml:space="preserve">Crane Hire  |  Lifting Solutions  |  Material Handling</t>
  </si>
  <si>
    <t xml:space="preserve">JABULA CRANE HIRE (PTY) LTD</t>
  </si>
  <si>
    <t xml:space="preserve">Quotation No.</t>
  </si>
  <si>
    <t xml:space="preserve">QUO-0001</t>
  </si>
  <si>
    <t xml:space="preserve">168 Catfish Crescent, Clearwater Eco Estate</t>
  </si>
  <si>
    <t xml:space="preserve">Date</t>
  </si>
  <si>
    <t xml:space="preserve">Jackaroo Park, Witbank, 1035</t>
  </si>
  <si>
    <t xml:space="preserve">Valid until</t>
  </si>
  <si>
    <t xml:space="preserve">Tel: 013 241 1017   |   Mobile / WhatsApp: 071 969 1266</t>
  </si>
  <si>
    <t xml:space="preserve">Your ref.</t>
  </si>
  <si>
    <t xml:space="preserve">[Client ref.]</t>
  </si>
  <si>
    <t xml:space="preserve">info@jabulacranes-hire.co.za   |   jabulacranes-hire.co.za</t>
  </si>
  <si>
    <t xml:space="preserve">Reg. No. 2026/337560   |   VAT No. [VAT NUMBER]</t>
  </si>
  <si>
    <t xml:space="preserve">QUOTE FOR</t>
  </si>
  <si>
    <t xml:space="preserve">SITE / PROJECT</t>
  </si>
  <si>
    <t xml:space="preserve">Name</t>
  </si>
  <si>
    <t xml:space="preserve">[Contact person]</t>
  </si>
  <si>
    <t xml:space="preserve">Site</t>
  </si>
  <si>
    <t xml:space="preserve">[Site name / location]</t>
  </si>
  <si>
    <t xml:space="preserve">Company</t>
  </si>
  <si>
    <t xml:space="preserve">[Company name]</t>
  </si>
  <si>
    <t xml:space="preserve">Site contact</t>
  </si>
  <si>
    <t xml:space="preserve">[Name &amp; number]</t>
  </si>
  <si>
    <t xml:space="preserve">Address</t>
  </si>
  <si>
    <t xml:space="preserve">[Street, City, Code]</t>
  </si>
  <si>
    <t xml:space="preserve">Start date</t>
  </si>
  <si>
    <t xml:space="preserve">[DD MMM YYYY]</t>
  </si>
  <si>
    <t xml:space="preserve">Phone</t>
  </si>
  <si>
    <t xml:space="preserve">[Phone number]</t>
  </si>
  <si>
    <t xml:space="preserve">Duration</t>
  </si>
  <si>
    <t xml:space="preserve">[e.g. 2 days]</t>
  </si>
  <si>
    <t xml:space="preserve">Email</t>
  </si>
  <si>
    <t xml:space="preserve">[Email address]</t>
  </si>
  <si>
    <t xml:space="preserve">Lift details</t>
  </si>
  <si>
    <t xml:space="preserve">[Load, weight, radius]</t>
  </si>
  <si>
    <t xml:space="preserve">#</t>
  </si>
  <si>
    <t xml:space="preserve">DESCRIPTION</t>
  </si>
  <si>
    <t xml:space="preserve">QTY</t>
  </si>
  <si>
    <t xml:space="preserve">UNIT</t>
  </si>
  <si>
    <t xml:space="preserve">UNIT PRICE</t>
  </si>
  <si>
    <t xml:space="preserve">AMOUNT</t>
  </si>
  <si>
    <t xml:space="preserve">EXAMPLE: 25-ton mobile crane hire incl. operator</t>
  </si>
  <si>
    <t xml:space="preserve">hrs</t>
  </si>
  <si>
    <t xml:space="preserve">TERMS &amp; NOTES</t>
  </si>
  <si>
    <t xml:space="preserve">Subtotal</t>
  </si>
  <si>
    <t xml:space="preserve">[Add your terms, e.g. quote validity, minimum hire hours, travel / establishment charges, site access and ground conditions, deposit and payment terms.]</t>
  </si>
  <si>
    <t xml:space="preserve">Less: Discount</t>
  </si>
  <si>
    <t xml:space="preserve">VAT rate</t>
  </si>
  <si>
    <t xml:space="preserve">VAT</t>
  </si>
  <si>
    <t xml:space="preserve">TOTAL (ZAR)</t>
  </si>
  <si>
    <t xml:space="preserve">BANKING DETAILS</t>
  </si>
  <si>
    <t xml:space="preserve">QUOTE ACCEPTANCE</t>
  </si>
  <si>
    <t xml:space="preserve">Bank</t>
  </si>
  <si>
    <t xml:space="preserve">[Bank name]</t>
  </si>
  <si>
    <t xml:space="preserve">Account name</t>
  </si>
  <si>
    <t xml:space="preserve">Jabula Crane Hire (Pty) Ltd</t>
  </si>
  <si>
    <t xml:space="preserve">Account no.</t>
  </si>
  <si>
    <t xml:space="preserve">[Account number]</t>
  </si>
  <si>
    <t xml:space="preserve">Signature</t>
  </si>
  <si>
    <t xml:space="preserve">Branch code</t>
  </si>
  <si>
    <t xml:space="preserve">[Branch code]</t>
  </si>
  <si>
    <t xml:space="preserve">Reference</t>
  </si>
  <si>
    <t xml:space="preserve">[Use the document number]</t>
  </si>
  <si>
    <t xml:space="preserve">Lifting your project to the next level.   ·   013 241 1017   ·   info@jabulacranes-hire.co.za   ·   jabulacranes-hire.co.za</t>
  </si>
  <si>
    <t xml:space="preserve">How to use this quotation template</t>
  </si>
  <si>
    <t xml:space="preserve">Fill in or overwrite these areas (everything else calculates by itself):</t>
  </si>
  <si>
    <t xml:space="preserve">•  Document number and date at the top right.</t>
  </si>
  <si>
    <t xml:space="preserve">•  The customer / supplier and site details.</t>
  </si>
  <si>
    <t xml:space="preserve">•  Each line: description, quantity, unit and unit price. The amount, subtotal, VAT and total are formulas – do not type over them.</t>
  </si>
  <si>
    <t xml:space="preserve">•  Discount (if any), VAT rate (set to 0% if the company is not VAT-registered) and the notes / terms box.</t>
  </si>
  <si>
    <t xml:space="preserve">Line 1 contains an EXAMPLE entry to show the format – overwrite or clear it.</t>
  </si>
  <si>
    <t xml:space="preserve">Before first use: replace [VAT NUMBER] and the [bracketed] banking details with the real details, then save as your master copy.</t>
  </si>
  <si>
    <t xml:space="preserve">To send: File &gt; Save As &gt; PDF (the sheet is set up to print on one A4 page).</t>
  </si>
  <si>
    <t xml:space="preserve">Number documents in sequence, e.g. QUO-0001, QUO-0002 … and keep a copy of each one you send.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</si>
</sst>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 mmm\ yyyy"/>
    <numFmt numFmtId="166" formatCode="0.##"/>
    <numFmt numFmtId="167" formatCode="&quot;R &quot;#,##0.00;&quot;-R &quot;#,##0.00;\-"/>
    <numFmt numFmtId="168" formatCode="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sz val="8"/>
      <color rgb="FFD9D6D0"/>
      <name val="Arial"/>
      <family val="0"/>
      <charset val="1"/>
    </font>
    <font>
      <b val="true"/>
      <sz val="10"/>
      <color rgb="FF2B2B2B"/>
      <name val="Arial"/>
      <family val="0"/>
      <charset val="1"/>
    </font>
    <font>
      <b val="true"/>
      <sz val="9"/>
      <color rgb="FF2B2B2B"/>
      <name val="Arial"/>
      <family val="0"/>
      <charset val="1"/>
    </font>
    <font>
      <sz val="9"/>
      <color rgb="FF2B2B2B"/>
      <name val="Arial"/>
      <family val="0"/>
      <charset val="1"/>
    </font>
    <font>
      <sz val="8.5"/>
      <color rgb="FF4A4A4A"/>
      <name val="Arial"/>
      <family val="0"/>
      <charset val="1"/>
    </font>
    <font>
      <b val="true"/>
      <sz val="9"/>
      <color rgb="FFF37021"/>
      <name val="Arial"/>
      <family val="0"/>
      <charset val="1"/>
    </font>
    <font>
      <b val="true"/>
      <sz val="8.5"/>
      <color rgb="FF2B2B2B"/>
      <name val="Arial"/>
      <family val="0"/>
      <charset val="1"/>
    </font>
    <font>
      <sz val="9"/>
      <color rgb="FF4A4A4A"/>
      <name val="Arial"/>
      <family val="0"/>
      <charset val="1"/>
    </font>
    <font>
      <b val="true"/>
      <sz val="8.5"/>
      <color rgb="FFFFFFFF"/>
      <name val="Arial"/>
      <family val="0"/>
      <charset val="1"/>
    </font>
    <font>
      <b val="true"/>
      <sz val="11"/>
      <color rgb="FF2B2B2B"/>
      <name val="Arial"/>
      <family val="0"/>
      <charset val="1"/>
    </font>
    <font>
      <b val="true"/>
      <sz val="14"/>
      <color rgb="FF2B2B2B"/>
      <name val="Arial"/>
      <family val="0"/>
      <charset val="1"/>
    </font>
    <font>
      <sz val="10"/>
      <color rgb="FF4A4A4A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B2B2B"/>
        <bgColor rgb="FF003300"/>
      </patternFill>
    </fill>
    <fill>
      <patternFill patternType="solid">
        <fgColor rgb="FFF37021"/>
        <bgColor rgb="FFFF9900"/>
      </patternFill>
    </fill>
    <fill>
      <patternFill patternType="solid">
        <fgColor rgb="FFF4F4F4"/>
        <bgColor rgb="FFFAFAFA"/>
      </patternFill>
    </fill>
    <fill>
      <patternFill patternType="solid">
        <fgColor rgb="FFFAFAFA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6E6E6"/>
      </bottom>
      <diagonal/>
    </border>
    <border diagonalUp="false" diagonalDown="false">
      <left/>
      <right/>
      <top/>
      <bottom style="thin">
        <color rgb="FFD9D9D9"/>
      </bottom>
      <diagonal/>
    </border>
    <border diagonalUp="false" diagonalDown="false">
      <left/>
      <right/>
      <top/>
      <bottom style="thin">
        <color rgb="FF9A9A9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8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4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6D0"/>
      <rgbColor rgb="FF808080"/>
      <rgbColor rgb="FF9999FF"/>
      <rgbColor rgb="FF993366"/>
      <rgbColor rgb="FFFAFAFA"/>
      <rgbColor rgb="FFF4F4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6E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37021"/>
      <rgbColor rgb="FF666699"/>
      <rgbColor rgb="FF9A9A9A"/>
      <rgbColor rgb="FF003366"/>
      <rgbColor rgb="FF339966"/>
      <rgbColor rgb="FF003300"/>
      <rgbColor rgb="FF4A4A4A"/>
      <rgbColor rgb="FF993300"/>
      <rgbColor rgb="FF993366"/>
      <rgbColor rgb="FF333399"/>
      <rgbColor rgb="FF2B2B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57240</xdr:colOff>
      <xdr:row>0</xdr:row>
      <xdr:rowOff>114480</xdr:rowOff>
    </xdr:from>
    <xdr:to>
      <xdr:col>2</xdr:col>
      <xdr:colOff>1802160</xdr:colOff>
      <xdr:row>2</xdr:row>
      <xdr:rowOff>171000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198360" y="114480"/>
          <a:ext cx="2590560" cy="5900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H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28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8" min="8" style="0" width="17"/>
    <col collapsed="false" customWidth="true" hidden="false" outlineLevel="0" max="9" min="9" style="0" width="2"/>
  </cols>
  <sheetData>
    <row r="1" customFormat="false" ht="21" hidden="false" customHeight="true" outlineLevel="0" collapsed="false">
      <c r="B1" s="1"/>
      <c r="C1" s="1"/>
      <c r="D1" s="1"/>
      <c r="E1" s="1"/>
      <c r="F1" s="2" t="s">
        <v>0</v>
      </c>
      <c r="G1" s="2"/>
      <c r="H1" s="2"/>
    </row>
    <row r="2" customFormat="false" ht="21" hidden="false" customHeight="true" outlineLevel="0" collapsed="false">
      <c r="B2" s="1"/>
      <c r="C2" s="1"/>
      <c r="D2" s="1"/>
      <c r="E2" s="1"/>
      <c r="F2" s="2"/>
      <c r="G2" s="2"/>
      <c r="H2" s="2"/>
    </row>
    <row r="3" customFormat="false" ht="21" hidden="false" customHeight="true" outlineLevel="0" collapsed="false">
      <c r="B3" s="1"/>
      <c r="C3" s="1"/>
      <c r="D3" s="1"/>
      <c r="E3" s="1"/>
      <c r="F3" s="2"/>
      <c r="G3" s="2"/>
      <c r="H3" s="2"/>
    </row>
    <row r="4" customFormat="false" ht="21" hidden="false" customHeight="true" outlineLevel="0" collapsed="false">
      <c r="B4" s="1"/>
      <c r="C4" s="1"/>
      <c r="D4" s="1"/>
      <c r="E4" s="1"/>
      <c r="F4" s="3" t="s">
        <v>1</v>
      </c>
      <c r="G4" s="3"/>
      <c r="H4" s="3"/>
    </row>
    <row r="5" customFormat="false" ht="4.5" hidden="false" customHeight="true" outlineLevel="0" collapsed="false">
      <c r="B5" s="4"/>
      <c r="C5" s="4"/>
      <c r="D5" s="4"/>
      <c r="E5" s="4"/>
      <c r="F5" s="4"/>
      <c r="G5" s="4"/>
      <c r="H5" s="4"/>
    </row>
    <row r="6" customFormat="false" ht="9.75" hidden="false" customHeight="true" outlineLevel="0" collapsed="false"/>
    <row r="7" customFormat="false" ht="15" hidden="false" customHeight="true" outlineLevel="0" collapsed="false">
      <c r="B7" s="5" t="s">
        <v>2</v>
      </c>
      <c r="C7" s="5"/>
      <c r="D7" s="5"/>
      <c r="E7" s="5"/>
      <c r="G7" s="6" t="s">
        <v>3</v>
      </c>
      <c r="H7" s="7" t="s">
        <v>4</v>
      </c>
    </row>
    <row r="8" customFormat="false" ht="15" hidden="false" customHeight="true" outlineLevel="0" collapsed="false">
      <c r="B8" s="8" t="s">
        <v>5</v>
      </c>
      <c r="C8" s="8"/>
      <c r="D8" s="8"/>
      <c r="E8" s="8"/>
      <c r="G8" s="6" t="s">
        <v>6</v>
      </c>
      <c r="H8" s="9" t="n">
        <v>46321</v>
      </c>
    </row>
    <row r="9" customFormat="false" ht="15" hidden="false" customHeight="true" outlineLevel="0" collapsed="false">
      <c r="B9" s="8" t="s">
        <v>7</v>
      </c>
      <c r="C9" s="8"/>
      <c r="D9" s="8"/>
      <c r="E9" s="8"/>
      <c r="G9" s="6" t="s">
        <v>8</v>
      </c>
      <c r="H9" s="9" t="n">
        <f aca="false">H8+30</f>
        <v>46351</v>
      </c>
    </row>
    <row r="10" customFormat="false" ht="15" hidden="false" customHeight="true" outlineLevel="0" collapsed="false">
      <c r="B10" s="8" t="s">
        <v>9</v>
      </c>
      <c r="C10" s="8"/>
      <c r="D10" s="8"/>
      <c r="E10" s="8"/>
      <c r="G10" s="6" t="s">
        <v>10</v>
      </c>
      <c r="H10" s="7" t="s">
        <v>11</v>
      </c>
    </row>
    <row r="11" customFormat="false" ht="15" hidden="false" customHeight="true" outlineLevel="0" collapsed="false">
      <c r="B11" s="8" t="s">
        <v>12</v>
      </c>
      <c r="C11" s="8"/>
      <c r="D11" s="8"/>
      <c r="E11" s="8"/>
    </row>
    <row r="12" customFormat="false" ht="15" hidden="false" customHeight="true" outlineLevel="0" collapsed="false">
      <c r="B12" s="8" t="s">
        <v>13</v>
      </c>
      <c r="C12" s="8"/>
      <c r="D12" s="8"/>
      <c r="E12" s="8"/>
    </row>
    <row r="14" customFormat="false" ht="9.75" hidden="false" customHeight="true" outlineLevel="0" collapsed="false"/>
    <row r="15" customFormat="false" ht="18" hidden="false" customHeight="true" outlineLevel="0" collapsed="false">
      <c r="B15" s="10" t="s">
        <v>14</v>
      </c>
      <c r="C15" s="10"/>
      <c r="D15" s="10"/>
      <c r="F15" s="10" t="s">
        <v>15</v>
      </c>
      <c r="G15" s="10"/>
      <c r="H15" s="10"/>
    </row>
    <row r="16" customFormat="false" ht="15" hidden="false" customHeight="false" outlineLevel="0" collapsed="false">
      <c r="B16" s="11" t="s">
        <v>16</v>
      </c>
      <c r="C16" s="12" t="s">
        <v>17</v>
      </c>
      <c r="D16" s="12"/>
      <c r="F16" s="11" t="s">
        <v>18</v>
      </c>
      <c r="G16" s="13" t="s">
        <v>19</v>
      </c>
      <c r="H16" s="13"/>
    </row>
    <row r="17" customFormat="false" ht="15" hidden="false" customHeight="false" outlineLevel="0" collapsed="false">
      <c r="B17" s="11" t="s">
        <v>20</v>
      </c>
      <c r="C17" s="12" t="s">
        <v>21</v>
      </c>
      <c r="D17" s="12"/>
      <c r="F17" s="11" t="s">
        <v>22</v>
      </c>
      <c r="G17" s="13" t="s">
        <v>23</v>
      </c>
      <c r="H17" s="13"/>
    </row>
    <row r="18" customFormat="false" ht="15" hidden="false" customHeight="false" outlineLevel="0" collapsed="false">
      <c r="B18" s="11" t="s">
        <v>24</v>
      </c>
      <c r="C18" s="12" t="s">
        <v>25</v>
      </c>
      <c r="D18" s="12"/>
      <c r="F18" s="11" t="s">
        <v>26</v>
      </c>
      <c r="G18" s="13" t="s">
        <v>27</v>
      </c>
      <c r="H18" s="13"/>
    </row>
    <row r="19" customFormat="false" ht="15" hidden="false" customHeight="false" outlineLevel="0" collapsed="false">
      <c r="B19" s="11" t="s">
        <v>28</v>
      </c>
      <c r="C19" s="12" t="s">
        <v>29</v>
      </c>
      <c r="D19" s="12"/>
      <c r="F19" s="11" t="s">
        <v>30</v>
      </c>
      <c r="G19" s="13" t="s">
        <v>31</v>
      </c>
      <c r="H19" s="13"/>
    </row>
    <row r="20" customFormat="false" ht="15" hidden="false" customHeight="false" outlineLevel="0" collapsed="false">
      <c r="B20" s="11" t="s">
        <v>32</v>
      </c>
      <c r="C20" s="12" t="s">
        <v>33</v>
      </c>
      <c r="D20" s="12"/>
      <c r="F20" s="11" t="s">
        <v>34</v>
      </c>
      <c r="G20" s="13" t="s">
        <v>35</v>
      </c>
      <c r="H20" s="13"/>
    </row>
    <row r="22" customFormat="false" ht="21.75" hidden="false" customHeight="true" outlineLevel="0" collapsed="false">
      <c r="B22" s="14" t="s">
        <v>36</v>
      </c>
      <c r="C22" s="15" t="s">
        <v>37</v>
      </c>
      <c r="D22" s="15"/>
      <c r="E22" s="14" t="s">
        <v>38</v>
      </c>
      <c r="F22" s="14" t="s">
        <v>39</v>
      </c>
      <c r="G22" s="16" t="s">
        <v>40</v>
      </c>
      <c r="H22" s="16" t="s">
        <v>41</v>
      </c>
    </row>
    <row r="23" customFormat="false" ht="18.75" hidden="false" customHeight="true" outlineLevel="0" collapsed="false">
      <c r="B23" s="17" t="n">
        <v>1</v>
      </c>
      <c r="C23" s="18" t="s">
        <v>42</v>
      </c>
      <c r="D23" s="18"/>
      <c r="E23" s="19" t="n">
        <v>8</v>
      </c>
      <c r="F23" s="17" t="s">
        <v>43</v>
      </c>
      <c r="G23" s="20" t="n">
        <v>1500</v>
      </c>
      <c r="H23" s="20" t="n">
        <f aca="false">IF(OR(E23="",G23=""),"",E23*G23)</f>
        <v>12000</v>
      </c>
    </row>
    <row r="24" customFormat="false" ht="18.75" hidden="false" customHeight="true" outlineLevel="0" collapsed="false">
      <c r="B24" s="21" t="n">
        <v>2</v>
      </c>
      <c r="C24" s="22"/>
      <c r="D24" s="22"/>
      <c r="E24" s="23"/>
      <c r="F24" s="21"/>
      <c r="G24" s="24"/>
      <c r="H24" s="24" t="str">
        <f aca="false">IF(OR(E24="",G24=""),"",E24*G24)</f>
        <v/>
      </c>
    </row>
    <row r="25" customFormat="false" ht="18.75" hidden="false" customHeight="true" outlineLevel="0" collapsed="false">
      <c r="B25" s="17" t="n">
        <v>3</v>
      </c>
      <c r="C25" s="18"/>
      <c r="D25" s="18"/>
      <c r="E25" s="19"/>
      <c r="F25" s="17"/>
      <c r="G25" s="20"/>
      <c r="H25" s="20" t="str">
        <f aca="false">IF(OR(E25="",G25=""),"",E25*G25)</f>
        <v/>
      </c>
    </row>
    <row r="26" customFormat="false" ht="18.75" hidden="false" customHeight="true" outlineLevel="0" collapsed="false">
      <c r="B26" s="21" t="n">
        <v>4</v>
      </c>
      <c r="C26" s="22"/>
      <c r="D26" s="22"/>
      <c r="E26" s="23"/>
      <c r="F26" s="21"/>
      <c r="G26" s="24"/>
      <c r="H26" s="24" t="str">
        <f aca="false">IF(OR(E26="",G26=""),"",E26*G26)</f>
        <v/>
      </c>
    </row>
    <row r="27" customFormat="false" ht="18.75" hidden="false" customHeight="true" outlineLevel="0" collapsed="false">
      <c r="B27" s="17" t="n">
        <v>5</v>
      </c>
      <c r="C27" s="18"/>
      <c r="D27" s="18"/>
      <c r="E27" s="19"/>
      <c r="F27" s="17"/>
      <c r="G27" s="20"/>
      <c r="H27" s="20" t="str">
        <f aca="false">IF(OR(E27="",G27=""),"",E27*G27)</f>
        <v/>
      </c>
    </row>
    <row r="28" customFormat="false" ht="18.75" hidden="false" customHeight="true" outlineLevel="0" collapsed="false">
      <c r="B28" s="21" t="n">
        <v>6</v>
      </c>
      <c r="C28" s="22"/>
      <c r="D28" s="22"/>
      <c r="E28" s="23"/>
      <c r="F28" s="21"/>
      <c r="G28" s="24"/>
      <c r="H28" s="24" t="str">
        <f aca="false">IF(OR(E28="",G28=""),"",E28*G28)</f>
        <v/>
      </c>
    </row>
    <row r="29" customFormat="false" ht="18.75" hidden="false" customHeight="true" outlineLevel="0" collapsed="false">
      <c r="B29" s="17" t="n">
        <v>7</v>
      </c>
      <c r="C29" s="18"/>
      <c r="D29" s="18"/>
      <c r="E29" s="19"/>
      <c r="F29" s="17"/>
      <c r="G29" s="20"/>
      <c r="H29" s="20" t="str">
        <f aca="false">IF(OR(E29="",G29=""),"",E29*G29)</f>
        <v/>
      </c>
    </row>
    <row r="30" customFormat="false" ht="18.75" hidden="false" customHeight="true" outlineLevel="0" collapsed="false">
      <c r="B30" s="21" t="n">
        <v>8</v>
      </c>
      <c r="C30" s="22"/>
      <c r="D30" s="22"/>
      <c r="E30" s="23"/>
      <c r="F30" s="21"/>
      <c r="G30" s="24"/>
      <c r="H30" s="24" t="str">
        <f aca="false">IF(OR(E30="",G30=""),"",E30*G30)</f>
        <v/>
      </c>
    </row>
    <row r="31" customFormat="false" ht="18.75" hidden="false" customHeight="true" outlineLevel="0" collapsed="false">
      <c r="B31" s="17" t="n">
        <v>9</v>
      </c>
      <c r="C31" s="18"/>
      <c r="D31" s="18"/>
      <c r="E31" s="19"/>
      <c r="F31" s="17"/>
      <c r="G31" s="20"/>
      <c r="H31" s="20" t="str">
        <f aca="false">IF(OR(E31="",G31=""),"",E31*G31)</f>
        <v/>
      </c>
    </row>
    <row r="32" customFormat="false" ht="18.75" hidden="false" customHeight="true" outlineLevel="0" collapsed="false">
      <c r="B32" s="21" t="n">
        <v>10</v>
      </c>
      <c r="C32" s="22"/>
      <c r="D32" s="22"/>
      <c r="E32" s="23"/>
      <c r="F32" s="21"/>
      <c r="G32" s="24"/>
      <c r="H32" s="24" t="str">
        <f aca="false">IF(OR(E32="",G32=""),"",E32*G32)</f>
        <v/>
      </c>
    </row>
    <row r="33" customFormat="false" ht="18.75" hidden="false" customHeight="true" outlineLevel="0" collapsed="false">
      <c r="B33" s="17" t="n">
        <v>11</v>
      </c>
      <c r="C33" s="18"/>
      <c r="D33" s="18"/>
      <c r="E33" s="19"/>
      <c r="F33" s="17"/>
      <c r="G33" s="20"/>
      <c r="H33" s="20" t="str">
        <f aca="false">IF(OR(E33="",G33=""),"",E33*G33)</f>
        <v/>
      </c>
    </row>
    <row r="34" customFormat="false" ht="18.75" hidden="false" customHeight="true" outlineLevel="0" collapsed="false">
      <c r="B34" s="21" t="n">
        <v>12</v>
      </c>
      <c r="C34" s="22"/>
      <c r="D34" s="22"/>
      <c r="E34" s="23"/>
      <c r="F34" s="21"/>
      <c r="G34" s="24"/>
      <c r="H34" s="24" t="str">
        <f aca="false">IF(OR(E34="",G34=""),"",E34*G34)</f>
        <v/>
      </c>
    </row>
    <row r="36" customFormat="false" ht="18.75" hidden="false" customHeight="true" outlineLevel="0" collapsed="false">
      <c r="B36" s="25" t="s">
        <v>44</v>
      </c>
      <c r="C36" s="25"/>
      <c r="D36" s="25"/>
      <c r="E36" s="25"/>
      <c r="G36" s="6" t="s">
        <v>45</v>
      </c>
      <c r="H36" s="20" t="n">
        <f aca="false">SUM(H23:H34)</f>
        <v>12000</v>
      </c>
    </row>
    <row r="37" customFormat="false" ht="18.75" hidden="false" customHeight="true" outlineLevel="0" collapsed="false">
      <c r="B37" s="26" t="s">
        <v>46</v>
      </c>
      <c r="C37" s="26"/>
      <c r="D37" s="26"/>
      <c r="E37" s="26"/>
      <c r="G37" s="6" t="s">
        <v>47</v>
      </c>
      <c r="H37" s="20" t="n">
        <v>0</v>
      </c>
    </row>
    <row r="38" customFormat="false" ht="18.75" hidden="false" customHeight="true" outlineLevel="0" collapsed="false">
      <c r="B38" s="26"/>
      <c r="C38" s="26"/>
      <c r="D38" s="26"/>
      <c r="E38" s="26"/>
      <c r="G38" s="6" t="s">
        <v>48</v>
      </c>
      <c r="H38" s="27" t="n">
        <v>0.15</v>
      </c>
    </row>
    <row r="39" customFormat="false" ht="18.75" hidden="false" customHeight="true" outlineLevel="0" collapsed="false">
      <c r="B39" s="26"/>
      <c r="C39" s="26"/>
      <c r="D39" s="26"/>
      <c r="E39" s="26"/>
      <c r="G39" s="6" t="s">
        <v>49</v>
      </c>
      <c r="H39" s="20" t="n">
        <f aca="false">(H36-H37)*H38</f>
        <v>1800</v>
      </c>
    </row>
    <row r="40" customFormat="false" ht="24" hidden="false" customHeight="true" outlineLevel="0" collapsed="false">
      <c r="B40" s="26"/>
      <c r="C40" s="26"/>
      <c r="D40" s="26"/>
      <c r="E40" s="26"/>
      <c r="F40" s="28"/>
      <c r="G40" s="29" t="s">
        <v>50</v>
      </c>
      <c r="H40" s="30" t="n">
        <f aca="false">H36-H37+H39</f>
        <v>13800</v>
      </c>
    </row>
    <row r="41" customFormat="false" ht="18.75" hidden="false" customHeight="true" outlineLevel="0" collapsed="false"/>
    <row r="42" customFormat="false" ht="18.75" hidden="false" customHeight="true" outlineLevel="0" collapsed="false">
      <c r="B42" s="25" t="s">
        <v>51</v>
      </c>
      <c r="C42" s="25"/>
      <c r="D42" s="25"/>
      <c r="F42" s="25" t="s">
        <v>52</v>
      </c>
      <c r="G42" s="25"/>
      <c r="H42" s="25"/>
    </row>
    <row r="43" customFormat="false" ht="18.75" hidden="false" customHeight="true" outlineLevel="0" collapsed="false">
      <c r="B43" s="11" t="s">
        <v>53</v>
      </c>
      <c r="C43" s="31" t="s">
        <v>54</v>
      </c>
      <c r="D43" s="31"/>
      <c r="F43" s="32" t="s">
        <v>16</v>
      </c>
      <c r="G43" s="33"/>
      <c r="H43" s="33"/>
    </row>
    <row r="44" customFormat="false" ht="18.75" hidden="false" customHeight="true" outlineLevel="0" collapsed="false">
      <c r="B44" s="11" t="s">
        <v>55</v>
      </c>
      <c r="C44" s="31" t="s">
        <v>56</v>
      </c>
      <c r="D44" s="31"/>
    </row>
    <row r="45" customFormat="false" ht="18.75" hidden="false" customHeight="true" outlineLevel="0" collapsed="false">
      <c r="B45" s="11" t="s">
        <v>57</v>
      </c>
      <c r="C45" s="31" t="s">
        <v>58</v>
      </c>
      <c r="D45" s="31"/>
      <c r="F45" s="32" t="s">
        <v>59</v>
      </c>
      <c r="G45" s="33"/>
      <c r="H45" s="33"/>
    </row>
    <row r="46" customFormat="false" ht="18.75" hidden="false" customHeight="true" outlineLevel="0" collapsed="false">
      <c r="B46" s="11" t="s">
        <v>60</v>
      </c>
      <c r="C46" s="31" t="s">
        <v>61</v>
      </c>
      <c r="D46" s="31"/>
    </row>
    <row r="47" customFormat="false" ht="18.75" hidden="false" customHeight="true" outlineLevel="0" collapsed="false">
      <c r="B47" s="11" t="s">
        <v>62</v>
      </c>
      <c r="C47" s="31" t="s">
        <v>63</v>
      </c>
      <c r="D47" s="31"/>
      <c r="F47" s="32" t="s">
        <v>6</v>
      </c>
      <c r="G47" s="33"/>
      <c r="H47" s="33"/>
    </row>
    <row r="48" customFormat="false" ht="18.75" hidden="false" customHeight="true" outlineLevel="0" collapsed="false"/>
    <row r="49" customFormat="false" ht="13.5" hidden="false" customHeight="true" outlineLevel="0" collapsed="false"/>
    <row r="50" customFormat="false" ht="19.5" hidden="false" customHeight="true" outlineLevel="0" collapsed="false">
      <c r="B50" s="34" t="s">
        <v>64</v>
      </c>
      <c r="C50" s="34"/>
      <c r="D50" s="34"/>
      <c r="E50" s="34"/>
      <c r="F50" s="34"/>
      <c r="G50" s="34"/>
      <c r="H50" s="34"/>
    </row>
  </sheetData>
  <mergeCells count="43">
    <mergeCell ref="F1:H3"/>
    <mergeCell ref="F4:H4"/>
    <mergeCell ref="B7:E7"/>
    <mergeCell ref="B8:E8"/>
    <mergeCell ref="B9:E9"/>
    <mergeCell ref="B10:E10"/>
    <mergeCell ref="B11:E11"/>
    <mergeCell ref="B12:E12"/>
    <mergeCell ref="B15:D15"/>
    <mergeCell ref="F15:H15"/>
    <mergeCell ref="C16:D16"/>
    <mergeCell ref="G16:H16"/>
    <mergeCell ref="C17:D17"/>
    <mergeCell ref="G17:H17"/>
    <mergeCell ref="C18:D18"/>
    <mergeCell ref="G18:H18"/>
    <mergeCell ref="C19:D19"/>
    <mergeCell ref="G19:H19"/>
    <mergeCell ref="C20:D20"/>
    <mergeCell ref="G20:H20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B36:E36"/>
    <mergeCell ref="B37:E40"/>
    <mergeCell ref="B42:D42"/>
    <mergeCell ref="F42:H42"/>
    <mergeCell ref="C43:D43"/>
    <mergeCell ref="C44:D44"/>
    <mergeCell ref="C45:D45"/>
    <mergeCell ref="C46:D46"/>
    <mergeCell ref="C47:D47"/>
    <mergeCell ref="B50:H50"/>
  </mergeCells>
  <printOptions headings="false" gridLines="false" gridLinesSet="true" horizontalCentered="true" verticalCentered="false"/>
  <pageMargins left="0.3" right="0.3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0"/>
  </cols>
  <sheetData>
    <row r="2" customFormat="false" ht="17.35" hidden="false" customHeight="false" outlineLevel="0" collapsed="false">
      <c r="B2" s="35" t="s">
        <v>65</v>
      </c>
    </row>
    <row r="4" customFormat="false" ht="15" hidden="false" customHeight="false" outlineLevel="0" collapsed="false">
      <c r="B4" s="36" t="s">
        <v>66</v>
      </c>
    </row>
    <row r="5" customFormat="false" ht="15" hidden="false" customHeight="false" outlineLevel="0" collapsed="false">
      <c r="B5" s="36" t="s">
        <v>67</v>
      </c>
    </row>
    <row r="6" customFormat="false" ht="15" hidden="false" customHeight="false" outlineLevel="0" collapsed="false">
      <c r="B6" s="36" t="s">
        <v>68</v>
      </c>
    </row>
    <row r="7" customFormat="false" ht="15" hidden="false" customHeight="false" outlineLevel="0" collapsed="false">
      <c r="B7" s="36" t="s">
        <v>69</v>
      </c>
    </row>
    <row r="8" customFormat="false" ht="15" hidden="false" customHeight="false" outlineLevel="0" collapsed="false">
      <c r="B8" s="36" t="s">
        <v>70</v>
      </c>
    </row>
    <row r="9" customFormat="false" ht="15" hidden="false" customHeight="false" outlineLevel="0" collapsed="false">
      <c r="B9" s="36" t="s">
        <v>71</v>
      </c>
    </row>
    <row r="10" customFormat="false" ht="15" hidden="false" customHeight="false" outlineLevel="0" collapsed="false">
      <c r="B10" s="36" t="s">
        <v>72</v>
      </c>
    </row>
    <row r="11" customFormat="false" ht="15" hidden="false" customHeight="false" outlineLevel="0" collapsed="false">
      <c r="B11" s="36" t="s">
        <v>73</v>
      </c>
    </row>
    <row r="12" customFormat="false" ht="15" hidden="false" customHeight="false" outlineLevel="0" collapsed="false">
      <c r="B12" s="36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2026-10-26T19:22:38Z</dcterms:created>
  <dc:creator>openpyxl</dc:creator>
  <dc:description/>
  <dc:language>en-US</dc:language>
  <cp:lastModifiedBy/>
  <dcterms:modified xsi:type="dcterms:W3CDTF">2026-10-26T19:22:38Z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